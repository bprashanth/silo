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gister" sheetId="1" state="visible" r:id="rId1"/>
    <sheet name="Formula notes" sheetId="2" state="visible" r:id="rId2"/>
  </sheets>
  <definedNames>
    <definedName name="_xlnm._FilterDatabase" localSheetId="0" hidden="1">'Invoice Register'!$A$4:$K$51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₹#,##0;[Red]-₹#,##0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</font>
    <font>
      <b val="1"/>
      <color rgb="00FFFFFF"/>
    </font>
    <font>
      <b val="1"/>
      <color rgb="001F4E78"/>
    </font>
    <font>
      <b val="1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548235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5" borderId="0" pivotButton="0" quotePrefix="0" xfId="0"/>
    <xf numFmtId="166" fontId="5" fillId="5" borderId="0" pivotButton="0" quotePrefix="0" xfId="0"/>
    <xf numFmtId="0" fontId="3" fillId="2" borderId="0" pivotButton="0" quotePrefix="0" xfId="0"/>
    <xf numFmtId="166" fontId="3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1" customWidth="1" min="3" max="3"/>
    <col width="19" customWidth="1" min="4" max="4"/>
    <col width="23" customWidth="1" min="5" max="5"/>
    <col width="28" customWidth="1" min="6" max="6"/>
    <col width="18" customWidth="1" min="7" max="7"/>
    <col width="20" customWidth="1" min="8" max="8"/>
    <col width="32" customWidth="1" min="9" max="9"/>
    <col width="22" customWidth="1" min="10" max="10"/>
    <col width="34" customWidth="1" min="11" max="11"/>
  </cols>
  <sheetData>
    <row r="1">
      <c r="A1" s="1" t="inlineStr">
        <is>
          <t>SEVA COLLECTIVE — Q1 FY 2025-26 INVOICE REGISTER</t>
        </is>
      </c>
    </row>
    <row r="2">
      <c r="A2" s="2" t="inlineStr">
        <is>
          <t>Amounts in INR | Formula cells intentionally not calculated in this file; derive Line Amount as Quantity × Unit Rate</t>
        </is>
      </c>
    </row>
    <row r="4">
      <c r="A4" s="3" t="inlineStr">
        <is>
          <t>Invoice ID</t>
        </is>
      </c>
      <c r="B4" s="3" t="inlineStr">
        <is>
          <t>Expense Date</t>
        </is>
      </c>
      <c r="C4" s="3" t="inlineStr">
        <is>
          <t>Quantity</t>
        </is>
      </c>
      <c r="D4" s="3" t="inlineStr">
        <is>
          <t>Unit Rate (INR)</t>
        </is>
      </c>
      <c r="E4" s="3" t="inlineStr">
        <is>
          <t>Line Amount (formula)</t>
        </is>
      </c>
      <c r="F4" s="3" t="inlineStr">
        <is>
          <t>Programme</t>
        </is>
      </c>
      <c r="G4" s="3" t="inlineStr">
        <is>
          <t>District</t>
        </is>
      </c>
      <c r="H4" s="3" t="inlineStr">
        <is>
          <t>State</t>
        </is>
      </c>
      <c r="I4" s="3" t="inlineStr">
        <is>
          <t>Funding Source</t>
        </is>
      </c>
      <c r="J4" s="3" t="inlineStr">
        <is>
          <t>Funding Type</t>
        </is>
      </c>
      <c r="K4" s="3" t="inlineStr">
        <is>
          <t>Narrative</t>
        </is>
      </c>
    </row>
    <row r="6">
      <c r="A6" s="4" t="inlineStr">
        <is>
          <t>APRIL 2025</t>
        </is>
      </c>
    </row>
    <row r="7">
      <c r="A7" t="inlineStr">
        <is>
          <t>SEVA-25-0001</t>
        </is>
      </c>
      <c r="B7" s="5" t="n">
        <v>45753</v>
      </c>
      <c r="C7" t="n">
        <v>12</v>
      </c>
      <c r="D7" s="6" t="n">
        <v>94000</v>
      </c>
      <c r="E7" s="6">
        <f>C7*D7</f>
        <v/>
      </c>
      <c r="F7" t="inlineStr">
        <is>
          <t>Community Nutrition</t>
        </is>
      </c>
      <c r="G7" t="inlineStr">
        <is>
          <t>Koraput</t>
        </is>
      </c>
      <c r="H7" t="inlineStr">
        <is>
          <t>Odisha</t>
        </is>
      </c>
      <c r="I7" t="inlineStr">
        <is>
          <t>PM POSHAN</t>
        </is>
      </c>
      <c r="J7" t="inlineStr">
        <is>
          <t>Government Scheme</t>
        </is>
      </c>
      <c r="K7" t="inlineStr">
        <is>
          <t>Field nutrition kits</t>
        </is>
      </c>
    </row>
    <row r="8">
      <c r="A8" t="inlineStr">
        <is>
          <t>SEVA-25-0002</t>
        </is>
      </c>
      <c r="B8" s="5" t="n">
        <v>45755</v>
      </c>
      <c r="C8" t="n">
        <v>17</v>
      </c>
      <c r="D8" s="6" t="n">
        <v>16000</v>
      </c>
      <c r="E8" s="6">
        <f>C8*D8</f>
        <v/>
      </c>
      <c r="F8" t="inlineStr">
        <is>
          <t>School WASH</t>
        </is>
      </c>
      <c r="G8" t="inlineStr">
        <is>
          <t>Jaisalmer</t>
        </is>
      </c>
      <c r="H8" t="inlineStr">
        <is>
          <t>Rajasthan</t>
        </is>
      </c>
      <c r="I8" t="inlineStr">
        <is>
          <t>Global Nutrition Fund (FCRA)</t>
        </is>
      </c>
      <c r="J8" t="inlineStr">
        <is>
          <t>Foreign Grant</t>
        </is>
      </c>
      <c r="K8" t="inlineStr">
        <is>
          <t>School water testing material</t>
        </is>
      </c>
    </row>
    <row r="9">
      <c r="A9" t="inlineStr">
        <is>
          <t>SEVA-25-0003</t>
        </is>
      </c>
      <c r="B9" s="5" t="n">
        <v>45757</v>
      </c>
      <c r="C9" t="n">
        <v>14</v>
      </c>
      <c r="D9" s="6" t="n">
        <v>80000</v>
      </c>
      <c r="E9" s="6">
        <f>C9*D9</f>
        <v/>
      </c>
      <c r="F9" t="inlineStr">
        <is>
          <t>Mobile Health Outreach</t>
        </is>
      </c>
      <c r="G9" t="inlineStr">
        <is>
          <t>Dindori</t>
        </is>
      </c>
      <c r="H9" t="inlineStr">
        <is>
          <t>Madhya Pradesh</t>
        </is>
      </c>
      <c r="I9" t="inlineStr">
        <is>
          <t>HDFC Bank Parivartan</t>
        </is>
      </c>
      <c r="J9" t="inlineStr">
        <is>
          <t>CSR</t>
        </is>
      </c>
      <c r="K9" t="inlineStr">
        <is>
          <t>Mobile clinic consumables</t>
        </is>
      </c>
    </row>
    <row r="10">
      <c r="A10" t="inlineStr">
        <is>
          <t>SEVA-25-0004</t>
        </is>
      </c>
      <c r="B10" s="5" t="n">
        <v>45759</v>
      </c>
      <c r="C10" t="n">
        <v>5</v>
      </c>
      <c r="D10" s="6" t="n">
        <v>42000</v>
      </c>
      <c r="E10" s="6">
        <f>C10*D10</f>
        <v/>
      </c>
      <c r="F10" t="inlineStr">
        <is>
          <t>School WASH</t>
        </is>
      </c>
      <c r="G10" t="inlineStr">
        <is>
          <t>Barmer</t>
        </is>
      </c>
      <c r="H10" t="inlineStr">
        <is>
          <t>Rajasthan</t>
        </is>
      </c>
      <c r="I10" t="inlineStr">
        <is>
          <t>Tata Trusts CSR</t>
        </is>
      </c>
      <c r="J10" t="inlineStr">
        <is>
          <t>CSR</t>
        </is>
      </c>
      <c r="K10" t="inlineStr">
        <is>
          <t>Field nutrition kits</t>
        </is>
      </c>
    </row>
    <row r="11">
      <c r="A11" t="inlineStr">
        <is>
          <t>SEVA-25-0005</t>
        </is>
      </c>
      <c r="B11" s="5" t="n">
        <v>45761</v>
      </c>
      <c r="C11" t="n">
        <v>4</v>
      </c>
      <c r="D11" s="6" t="n">
        <v>26000</v>
      </c>
      <c r="E11" s="6">
        <f>C11*D11</f>
        <v/>
      </c>
      <c r="F11" t="inlineStr">
        <is>
          <t>Mobile Health Outreach</t>
        </is>
      </c>
      <c r="G11" t="inlineStr">
        <is>
          <t>Mandla</t>
        </is>
      </c>
      <c r="H11" t="inlineStr">
        <is>
          <t>Madhya Pradesh</t>
        </is>
      </c>
      <c r="I11" t="inlineStr">
        <is>
          <t>PM POSHAN</t>
        </is>
      </c>
      <c r="J11" t="inlineStr">
        <is>
          <t>Government Scheme</t>
        </is>
      </c>
      <c r="K11" t="inlineStr">
        <is>
          <t>School water testing material</t>
        </is>
      </c>
    </row>
    <row r="12">
      <c r="A12" t="inlineStr">
        <is>
          <t>SEVA-25-0006</t>
        </is>
      </c>
      <c r="B12" s="5" t="n">
        <v>45763</v>
      </c>
      <c r="C12" t="n">
        <v>12</v>
      </c>
      <c r="D12" s="6" t="n">
        <v>30000</v>
      </c>
      <c r="E12" s="6">
        <f>C12*D12</f>
        <v/>
      </c>
      <c r="F12" t="inlineStr">
        <is>
          <t>Community Nutrition</t>
        </is>
      </c>
      <c r="G12" t="inlineStr">
        <is>
          <t>Rayagada</t>
        </is>
      </c>
      <c r="H12" t="inlineStr">
        <is>
          <t>Odisha</t>
        </is>
      </c>
      <c r="I12" t="inlineStr">
        <is>
          <t>Global Nutrition Fund (FCRA)</t>
        </is>
      </c>
      <c r="J12" t="inlineStr">
        <is>
          <t>Foreign Grant</t>
        </is>
      </c>
      <c r="K12" t="inlineStr">
        <is>
          <t>Mobile clinic consumables</t>
        </is>
      </c>
    </row>
    <row r="13">
      <c r="A13" t="inlineStr">
        <is>
          <t>SEVA-25-0007</t>
        </is>
      </c>
      <c r="B13" s="5" t="n">
        <v>45765</v>
      </c>
      <c r="C13" t="n">
        <v>15</v>
      </c>
      <c r="D13" s="6" t="n">
        <v>62000</v>
      </c>
      <c r="E13" s="6">
        <f>C13*D13</f>
        <v/>
      </c>
      <c r="F13" t="inlineStr">
        <is>
          <t>Women's Livelihoods</t>
        </is>
      </c>
      <c r="G13" t="inlineStr">
        <is>
          <t>Nandurbar</t>
        </is>
      </c>
      <c r="H13" t="inlineStr">
        <is>
          <t>Maharashtra</t>
        </is>
      </c>
      <c r="I13" t="inlineStr">
        <is>
          <t>HDFC Bank Parivartan</t>
        </is>
      </c>
      <c r="J13" t="inlineStr">
        <is>
          <t>CSR</t>
        </is>
      </c>
      <c r="K13" t="inlineStr">
        <is>
          <t>Field nutrition kits</t>
        </is>
      </c>
    </row>
    <row r="14">
      <c r="A14" t="inlineStr">
        <is>
          <t>SEVA-25-0008</t>
        </is>
      </c>
      <c r="B14" s="5" t="n">
        <v>45767</v>
      </c>
      <c r="C14" t="n">
        <v>12</v>
      </c>
      <c r="D14" s="6" t="n">
        <v>131000</v>
      </c>
      <c r="E14" s="6">
        <f>C14*D14</f>
        <v/>
      </c>
      <c r="F14" t="inlineStr">
        <is>
          <t>Community Nutrition</t>
        </is>
      </c>
      <c r="G14" t="inlineStr">
        <is>
          <t>Koraput</t>
        </is>
      </c>
      <c r="H14" t="inlineStr">
        <is>
          <t>Odisha</t>
        </is>
      </c>
      <c r="I14" t="inlineStr">
        <is>
          <t>Tata Trusts CSR</t>
        </is>
      </c>
      <c r="J14" t="inlineStr">
        <is>
          <t>CSR</t>
        </is>
      </c>
      <c r="K14" t="inlineStr">
        <is>
          <t>School water testing material</t>
        </is>
      </c>
    </row>
    <row r="15">
      <c r="A15" t="inlineStr">
        <is>
          <t>SEVA-25-0009</t>
        </is>
      </c>
      <c r="B15" s="5" t="n">
        <v>45769</v>
      </c>
      <c r="C15" t="n">
        <v>3</v>
      </c>
      <c r="D15" s="6" t="n">
        <v>24000</v>
      </c>
      <c r="E15" s="6">
        <f>C15*D15</f>
        <v/>
      </c>
      <c r="F15" t="inlineStr">
        <is>
          <t>School WASH</t>
        </is>
      </c>
      <c r="G15" t="inlineStr">
        <is>
          <t>Jaisalmer</t>
        </is>
      </c>
      <c r="H15" t="inlineStr">
        <is>
          <t>Rajasthan</t>
        </is>
      </c>
      <c r="I15" t="inlineStr">
        <is>
          <t>PM POSHAN</t>
        </is>
      </c>
      <c r="J15" t="inlineStr">
        <is>
          <t>Government Scheme</t>
        </is>
      </c>
      <c r="K15" t="inlineStr">
        <is>
          <t>Mobile clinic consumables</t>
        </is>
      </c>
    </row>
    <row r="16">
      <c r="A16" t="inlineStr">
        <is>
          <t>SEVA-25-0010</t>
        </is>
      </c>
      <c r="B16" s="5" t="n">
        <v>45771</v>
      </c>
      <c r="C16" t="n">
        <v>8</v>
      </c>
      <c r="D16" s="6" t="n">
        <v>34000</v>
      </c>
      <c r="E16" s="6">
        <f>C16*D16</f>
        <v/>
      </c>
      <c r="F16" t="inlineStr">
        <is>
          <t>Mobile Health Outreach</t>
        </is>
      </c>
      <c r="G16" t="inlineStr">
        <is>
          <t>Dindori</t>
        </is>
      </c>
      <c r="H16" t="inlineStr">
        <is>
          <t>Madhya Pradesh</t>
        </is>
      </c>
      <c r="I16" t="inlineStr">
        <is>
          <t>Global Nutrition Fund (FCRA)</t>
        </is>
      </c>
      <c r="J16" t="inlineStr">
        <is>
          <t>Foreign Grant</t>
        </is>
      </c>
      <c r="K16" t="inlineStr">
        <is>
          <t>Field nutrition kits</t>
        </is>
      </c>
    </row>
    <row r="17">
      <c r="A17" t="inlineStr">
        <is>
          <t>SEVA-25-0011</t>
        </is>
      </c>
      <c r="B17" s="5" t="n">
        <v>45773</v>
      </c>
      <c r="C17" t="n">
        <v>7</v>
      </c>
      <c r="D17" s="6" t="n">
        <v>24000</v>
      </c>
      <c r="E17" s="6">
        <f>C17*D17</f>
        <v/>
      </c>
      <c r="F17" t="inlineStr">
        <is>
          <t>School WASH</t>
        </is>
      </c>
      <c r="G17" t="inlineStr">
        <is>
          <t>Barmer</t>
        </is>
      </c>
      <c r="H17" t="inlineStr">
        <is>
          <t>Rajasthan</t>
        </is>
      </c>
      <c r="I17" t="inlineStr">
        <is>
          <t>HDFC Bank Parivartan</t>
        </is>
      </c>
      <c r="J17" t="inlineStr">
        <is>
          <t>CSR</t>
        </is>
      </c>
      <c r="K17" t="inlineStr">
        <is>
          <t>School water testing material</t>
        </is>
      </c>
    </row>
    <row r="18">
      <c r="A18" t="inlineStr">
        <is>
          <t>SEVA-25-0012</t>
        </is>
      </c>
      <c r="B18" s="5" t="n">
        <v>45750</v>
      </c>
      <c r="C18" t="n">
        <v>17</v>
      </c>
      <c r="D18" s="6" t="n">
        <v>54000</v>
      </c>
      <c r="E18" s="6">
        <f>C18*D18</f>
        <v/>
      </c>
      <c r="F18" t="inlineStr">
        <is>
          <t>Mobile Health Outreach</t>
        </is>
      </c>
      <c r="G18" t="inlineStr">
        <is>
          <t>Mandla</t>
        </is>
      </c>
      <c r="H18" t="inlineStr">
        <is>
          <t>Madhya Pradesh</t>
        </is>
      </c>
      <c r="I18" t="inlineStr">
        <is>
          <t>Tata Trusts CSR</t>
        </is>
      </c>
      <c r="J18" t="inlineStr">
        <is>
          <t>CSR</t>
        </is>
      </c>
      <c r="K18" t="inlineStr">
        <is>
          <t>Mobile clinic consumables</t>
        </is>
      </c>
    </row>
    <row r="19">
      <c r="A19" s="7" t="inlineStr">
        <is>
          <t>SUBTOTAL — APRIL 2025</t>
        </is>
      </c>
      <c r="B19" s="7" t="n"/>
      <c r="C19" s="7" t="n"/>
      <c r="D19" s="7" t="n"/>
      <c r="E19" s="8">
        <f>SUM(E7:E18)</f>
        <v/>
      </c>
      <c r="F19" s="7" t="n"/>
      <c r="G19" s="7" t="n"/>
      <c r="H19" s="7" t="n"/>
      <c r="I19" s="7" t="n"/>
      <c r="J19" s="7" t="n"/>
      <c r="K19" s="7" t="n"/>
    </row>
    <row r="21">
      <c r="A21" s="4" t="inlineStr">
        <is>
          <t>MAY 2025</t>
        </is>
      </c>
    </row>
    <row r="22">
      <c r="A22" t="inlineStr">
        <is>
          <t>SEVA-25-0013</t>
        </is>
      </c>
      <c r="B22" s="5" t="n">
        <v>45784</v>
      </c>
      <c r="C22" t="n">
        <v>11</v>
      </c>
      <c r="D22" s="6" t="n">
        <v>23000</v>
      </c>
      <c r="E22" s="6">
        <f>C22*D22</f>
        <v/>
      </c>
      <c r="F22" t="inlineStr">
        <is>
          <t>School WASH</t>
        </is>
      </c>
      <c r="G22" t="inlineStr">
        <is>
          <t>Barmer</t>
        </is>
      </c>
      <c r="H22" t="inlineStr">
        <is>
          <t>Rajasthan</t>
        </is>
      </c>
      <c r="I22" t="inlineStr">
        <is>
          <t>Global Nutrition Fund (FCRA)</t>
        </is>
      </c>
      <c r="J22" t="inlineStr">
        <is>
          <t>Foreign Grant</t>
        </is>
      </c>
      <c r="K22" t="inlineStr">
        <is>
          <t>Community facilitator supplies</t>
        </is>
      </c>
    </row>
    <row r="23">
      <c r="A23" t="inlineStr">
        <is>
          <t>SEVA-25-0014</t>
        </is>
      </c>
      <c r="B23" s="5" t="n">
        <v>45786</v>
      </c>
      <c r="C23" t="n">
        <v>3</v>
      </c>
      <c r="D23" s="6" t="n">
        <v>29000</v>
      </c>
      <c r="E23" s="6">
        <f>C23*D23</f>
        <v/>
      </c>
      <c r="F23" t="inlineStr">
        <is>
          <t>Mobile Health Outreach</t>
        </is>
      </c>
      <c r="G23" t="inlineStr">
        <is>
          <t>Mandla</t>
        </is>
      </c>
      <c r="H23" t="inlineStr">
        <is>
          <t>Madhya Pradesh</t>
        </is>
      </c>
      <c r="I23" t="inlineStr">
        <is>
          <t>HDFC Bank Parivartan</t>
        </is>
      </c>
      <c r="J23" t="inlineStr">
        <is>
          <t>CSR</t>
        </is>
      </c>
      <c r="K23" t="inlineStr">
        <is>
          <t>Training venue and learning aids</t>
        </is>
      </c>
    </row>
    <row r="24">
      <c r="A24" t="inlineStr">
        <is>
          <t>SEVA-25-0015</t>
        </is>
      </c>
      <c r="B24" s="5" t="n">
        <v>45788</v>
      </c>
      <c r="C24" t="n">
        <v>9</v>
      </c>
      <c r="D24" s="6" t="n">
        <v>69000</v>
      </c>
      <c r="E24" s="6">
        <f>C24*D24</f>
        <v/>
      </c>
      <c r="F24" t="inlineStr">
        <is>
          <t>Community Nutrition</t>
        </is>
      </c>
      <c r="G24" t="inlineStr">
        <is>
          <t>Rayagada</t>
        </is>
      </c>
      <c r="H24" t="inlineStr">
        <is>
          <t>Odisha</t>
        </is>
      </c>
      <c r="I24" t="inlineStr">
        <is>
          <t>Tata Trusts CSR</t>
        </is>
      </c>
      <c r="J24" t="inlineStr">
        <is>
          <t>CSR</t>
        </is>
      </c>
      <c r="K24" t="inlineStr">
        <is>
          <t>Livelihood demonstration inputs</t>
        </is>
      </c>
    </row>
    <row r="25">
      <c r="A25" t="inlineStr">
        <is>
          <t>SEVA-25-0016</t>
        </is>
      </c>
      <c r="B25" s="5" t="n">
        <v>45790</v>
      </c>
      <c r="C25" t="n">
        <v>16</v>
      </c>
      <c r="D25" s="6" t="n">
        <v>18000</v>
      </c>
      <c r="E25" s="6">
        <f>C25*D25</f>
        <v/>
      </c>
      <c r="F25" t="inlineStr">
        <is>
          <t>Women's Livelihoods</t>
        </is>
      </c>
      <c r="G25" t="inlineStr">
        <is>
          <t>Nandurbar</t>
        </is>
      </c>
      <c r="H25" t="inlineStr">
        <is>
          <t>Maharashtra</t>
        </is>
      </c>
      <c r="I25" t="inlineStr">
        <is>
          <t>PM POSHAN</t>
        </is>
      </c>
      <c r="J25" t="inlineStr">
        <is>
          <t>Government Scheme</t>
        </is>
      </c>
      <c r="K25" t="inlineStr">
        <is>
          <t>Community facilitator supplies</t>
        </is>
      </c>
    </row>
    <row r="26">
      <c r="A26" t="inlineStr">
        <is>
          <t>SEVA-25-0017</t>
        </is>
      </c>
      <c r="B26" s="5" t="n">
        <v>45792</v>
      </c>
      <c r="C26" t="n">
        <v>17</v>
      </c>
      <c r="D26" s="6" t="n">
        <v>129000</v>
      </c>
      <c r="E26" s="6">
        <f>C26*D26</f>
        <v/>
      </c>
      <c r="F26" t="inlineStr">
        <is>
          <t>Community Nutrition</t>
        </is>
      </c>
      <c r="G26" t="inlineStr">
        <is>
          <t>Koraput</t>
        </is>
      </c>
      <c r="H26" t="inlineStr">
        <is>
          <t>Odisha</t>
        </is>
      </c>
      <c r="I26" t="inlineStr">
        <is>
          <t>Global Nutrition Fund (FCRA)</t>
        </is>
      </c>
      <c r="J26" t="inlineStr">
        <is>
          <t>Foreign Grant</t>
        </is>
      </c>
      <c r="K26" t="inlineStr">
        <is>
          <t>Training venue and learning aids</t>
        </is>
      </c>
    </row>
    <row r="27">
      <c r="A27" t="inlineStr">
        <is>
          <t>SEVA-25-0018</t>
        </is>
      </c>
      <c r="B27" s="5" t="n">
        <v>45794</v>
      </c>
      <c r="C27" t="n">
        <v>6</v>
      </c>
      <c r="D27" s="6" t="n">
        <v>48000</v>
      </c>
      <c r="E27" s="6">
        <f>C27*D27</f>
        <v/>
      </c>
      <c r="F27" t="inlineStr">
        <is>
          <t>School WASH</t>
        </is>
      </c>
      <c r="G27" t="inlineStr">
        <is>
          <t>Jaisalmer</t>
        </is>
      </c>
      <c r="H27" t="inlineStr">
        <is>
          <t>Rajasthan</t>
        </is>
      </c>
      <c r="I27" t="inlineStr">
        <is>
          <t>HDFC Bank Parivartan</t>
        </is>
      </c>
      <c r="J27" t="inlineStr">
        <is>
          <t>CSR</t>
        </is>
      </c>
      <c r="K27" t="inlineStr">
        <is>
          <t>Livelihood demonstration inputs</t>
        </is>
      </c>
    </row>
    <row r="28">
      <c r="A28" t="inlineStr">
        <is>
          <t>SEVA-25-0019</t>
        </is>
      </c>
      <c r="B28" s="5" t="n">
        <v>45796</v>
      </c>
      <c r="C28" t="n">
        <v>13</v>
      </c>
      <c r="D28" s="6" t="n">
        <v>58000</v>
      </c>
      <c r="E28" s="6">
        <f>C28*D28</f>
        <v/>
      </c>
      <c r="F28" t="inlineStr">
        <is>
          <t>Mobile Health Outreach</t>
        </is>
      </c>
      <c r="G28" t="inlineStr">
        <is>
          <t>Dindori</t>
        </is>
      </c>
      <c r="H28" t="inlineStr">
        <is>
          <t>Madhya Pradesh</t>
        </is>
      </c>
      <c r="I28" t="inlineStr">
        <is>
          <t>Tata Trusts CSR</t>
        </is>
      </c>
      <c r="J28" t="inlineStr">
        <is>
          <t>CSR</t>
        </is>
      </c>
      <c r="K28" t="inlineStr">
        <is>
          <t>Community facilitator supplies</t>
        </is>
      </c>
    </row>
    <row r="29">
      <c r="A29" t="inlineStr">
        <is>
          <t>SEVA-25-0020</t>
        </is>
      </c>
      <c r="B29" s="5" t="n">
        <v>45798</v>
      </c>
      <c r="C29" t="n">
        <v>16</v>
      </c>
      <c r="D29" s="6" t="n">
        <v>72000</v>
      </c>
      <c r="E29" s="6">
        <f>C29*D29</f>
        <v/>
      </c>
      <c r="F29" t="inlineStr">
        <is>
          <t>School WASH</t>
        </is>
      </c>
      <c r="G29" t="inlineStr">
        <is>
          <t>Barmer</t>
        </is>
      </c>
      <c r="H29" t="inlineStr">
        <is>
          <t>Rajasthan</t>
        </is>
      </c>
      <c r="I29" t="inlineStr">
        <is>
          <t>PM POSHAN</t>
        </is>
      </c>
      <c r="J29" t="inlineStr">
        <is>
          <t>Government Scheme</t>
        </is>
      </c>
      <c r="K29" t="inlineStr">
        <is>
          <t>Training venue and learning aids</t>
        </is>
      </c>
    </row>
    <row r="30">
      <c r="A30" t="inlineStr">
        <is>
          <t>SEVA-25-0021</t>
        </is>
      </c>
      <c r="B30" s="5" t="n">
        <v>45800</v>
      </c>
      <c r="C30" t="n">
        <v>5</v>
      </c>
      <c r="D30" s="6" t="n">
        <v>58000</v>
      </c>
      <c r="E30" s="6">
        <f>C30*D30</f>
        <v/>
      </c>
      <c r="F30" t="inlineStr">
        <is>
          <t>Mobile Health Outreach</t>
        </is>
      </c>
      <c r="G30" t="inlineStr">
        <is>
          <t>Mandla</t>
        </is>
      </c>
      <c r="H30" t="inlineStr">
        <is>
          <t>Madhya Pradesh</t>
        </is>
      </c>
      <c r="I30" t="inlineStr">
        <is>
          <t>Global Nutrition Fund (FCRA)</t>
        </is>
      </c>
      <c r="J30" t="inlineStr">
        <is>
          <t>Foreign Grant</t>
        </is>
      </c>
      <c r="K30" t="inlineStr">
        <is>
          <t>Livelihood demonstration inputs</t>
        </is>
      </c>
    </row>
    <row r="31">
      <c r="A31" t="inlineStr">
        <is>
          <t>SEVA-25-0022</t>
        </is>
      </c>
      <c r="B31" s="5" t="n">
        <v>45802</v>
      </c>
      <c r="C31" t="n">
        <v>6</v>
      </c>
      <c r="D31" s="6" t="n">
        <v>56000</v>
      </c>
      <c r="E31" s="6">
        <f>C31*D31</f>
        <v/>
      </c>
      <c r="F31" t="inlineStr">
        <is>
          <t>Community Nutrition</t>
        </is>
      </c>
      <c r="G31" t="inlineStr">
        <is>
          <t>Rayagada</t>
        </is>
      </c>
      <c r="H31" t="inlineStr">
        <is>
          <t>Odisha</t>
        </is>
      </c>
      <c r="I31" t="inlineStr">
        <is>
          <t>HDFC Bank Parivartan</t>
        </is>
      </c>
      <c r="J31" t="inlineStr">
        <is>
          <t>CSR</t>
        </is>
      </c>
      <c r="K31" t="inlineStr">
        <is>
          <t>Community facilitator supplies</t>
        </is>
      </c>
    </row>
    <row r="32">
      <c r="A32" t="inlineStr">
        <is>
          <t>SEVA-25-0023</t>
        </is>
      </c>
      <c r="B32" s="5" t="n">
        <v>45779</v>
      </c>
      <c r="C32" t="n">
        <v>16</v>
      </c>
      <c r="D32" s="6" t="n">
        <v>14000</v>
      </c>
      <c r="E32" s="6">
        <f>C32*D32</f>
        <v/>
      </c>
      <c r="F32" t="inlineStr">
        <is>
          <t>Women's Livelihoods</t>
        </is>
      </c>
      <c r="G32" t="inlineStr">
        <is>
          <t>Nandurbar</t>
        </is>
      </c>
      <c r="H32" t="inlineStr">
        <is>
          <t>Maharashtra</t>
        </is>
      </c>
      <c r="I32" t="inlineStr">
        <is>
          <t>Tata Trusts CSR</t>
        </is>
      </c>
      <c r="J32" t="inlineStr">
        <is>
          <t>CSR</t>
        </is>
      </c>
      <c r="K32" t="inlineStr">
        <is>
          <t>Training venue and learning aids</t>
        </is>
      </c>
    </row>
    <row r="33">
      <c r="A33" t="inlineStr">
        <is>
          <t>SEVA-25-0024</t>
        </is>
      </c>
      <c r="B33" s="5" t="n">
        <v>45781</v>
      </c>
      <c r="C33" t="n">
        <v>9</v>
      </c>
      <c r="D33" s="6" t="n">
        <v>156000</v>
      </c>
      <c r="E33" s="6">
        <f>C33*D33</f>
        <v/>
      </c>
      <c r="F33" t="inlineStr">
        <is>
          <t>Community Nutrition</t>
        </is>
      </c>
      <c r="G33" t="inlineStr">
        <is>
          <t>Koraput</t>
        </is>
      </c>
      <c r="H33" t="inlineStr">
        <is>
          <t>Odisha</t>
        </is>
      </c>
      <c r="I33" t="inlineStr">
        <is>
          <t>PM POSHAN</t>
        </is>
      </c>
      <c r="J33" t="inlineStr">
        <is>
          <t>Government Scheme</t>
        </is>
      </c>
      <c r="K33" t="inlineStr">
        <is>
          <t>Livelihood demonstration inputs</t>
        </is>
      </c>
    </row>
    <row r="34">
      <c r="A34" s="7" t="inlineStr">
        <is>
          <t>SUBTOTAL — MAY 2025</t>
        </is>
      </c>
      <c r="B34" s="7" t="n"/>
      <c r="C34" s="7" t="n"/>
      <c r="D34" s="7" t="n"/>
      <c r="E34" s="8">
        <f>SUM(E22:E33)</f>
        <v/>
      </c>
      <c r="F34" s="7" t="n"/>
      <c r="G34" s="7" t="n"/>
      <c r="H34" s="7" t="n"/>
      <c r="I34" s="7" t="n"/>
      <c r="J34" s="7" t="n"/>
      <c r="K34" s="7" t="n"/>
    </row>
    <row r="36">
      <c r="A36" s="4" t="inlineStr">
        <is>
          <t>JUNE 2025</t>
        </is>
      </c>
    </row>
    <row r="37">
      <c r="A37" t="inlineStr">
        <is>
          <t>SEVA-25-0025</t>
        </is>
      </c>
      <c r="B37" s="5" t="n">
        <v>45816</v>
      </c>
      <c r="C37" t="n">
        <v>17</v>
      </c>
      <c r="D37" s="6" t="n">
        <v>67000</v>
      </c>
      <c r="E37" s="6">
        <f>C37*D37</f>
        <v/>
      </c>
      <c r="F37" t="inlineStr">
        <is>
          <t>Women's Livelihoods</t>
        </is>
      </c>
      <c r="G37" t="inlineStr">
        <is>
          <t>Nandurbar</t>
        </is>
      </c>
      <c r="H37" t="inlineStr">
        <is>
          <t>Maharashtra</t>
        </is>
      </c>
      <c r="I37" t="inlineStr">
        <is>
          <t>HDFC Bank Parivartan</t>
        </is>
      </c>
      <c r="J37" t="inlineStr">
        <is>
          <t>CSR</t>
        </is>
      </c>
      <c r="K37" t="inlineStr">
        <is>
          <t>School water testing material</t>
        </is>
      </c>
    </row>
    <row r="38">
      <c r="A38" t="inlineStr">
        <is>
          <t>SEVA-25-0026</t>
        </is>
      </c>
      <c r="B38" s="5" t="n">
        <v>45818</v>
      </c>
      <c r="C38" t="n">
        <v>8</v>
      </c>
      <c r="D38" s="6" t="n">
        <v>104000</v>
      </c>
      <c r="E38" s="6">
        <f>C38*D38</f>
        <v/>
      </c>
      <c r="F38" t="inlineStr">
        <is>
          <t>Community Nutrition</t>
        </is>
      </c>
      <c r="G38" t="inlineStr">
        <is>
          <t>Koraput</t>
        </is>
      </c>
      <c r="H38" t="inlineStr">
        <is>
          <t>Odisha</t>
        </is>
      </c>
      <c r="I38" t="inlineStr">
        <is>
          <t>Tata Trusts CSR</t>
        </is>
      </c>
      <c r="J38" t="inlineStr">
        <is>
          <t>CSR</t>
        </is>
      </c>
      <c r="K38" t="inlineStr">
        <is>
          <t>Mobile clinic consumables</t>
        </is>
      </c>
    </row>
    <row r="39">
      <c r="A39" t="inlineStr">
        <is>
          <t>SEVA-25-0027</t>
        </is>
      </c>
      <c r="B39" s="5" t="n">
        <v>45820</v>
      </c>
      <c r="C39" t="n">
        <v>16</v>
      </c>
      <c r="D39" s="6" t="n">
        <v>32000</v>
      </c>
      <c r="E39" s="6">
        <f>C39*D39</f>
        <v/>
      </c>
      <c r="F39" t="inlineStr">
        <is>
          <t>School WASH</t>
        </is>
      </c>
      <c r="G39" t="inlineStr">
        <is>
          <t>Jaisalmer</t>
        </is>
      </c>
      <c r="H39" t="inlineStr">
        <is>
          <t>Rajasthan</t>
        </is>
      </c>
      <c r="I39" t="inlineStr">
        <is>
          <t>PM POSHAN</t>
        </is>
      </c>
      <c r="J39" t="inlineStr">
        <is>
          <t>Government Scheme</t>
        </is>
      </c>
      <c r="K39" t="inlineStr">
        <is>
          <t>Field nutrition kits</t>
        </is>
      </c>
    </row>
    <row r="40">
      <c r="A40" t="inlineStr">
        <is>
          <t>SEVA-25-0028</t>
        </is>
      </c>
      <c r="B40" s="5" t="n">
        <v>45822</v>
      </c>
      <c r="C40" t="n">
        <v>10</v>
      </c>
      <c r="D40" s="6" t="n">
        <v>73000</v>
      </c>
      <c r="E40" s="6">
        <f>C40*D40</f>
        <v/>
      </c>
      <c r="F40" t="inlineStr">
        <is>
          <t>Mobile Health Outreach</t>
        </is>
      </c>
      <c r="G40" t="inlineStr">
        <is>
          <t>Dindori</t>
        </is>
      </c>
      <c r="H40" t="inlineStr">
        <is>
          <t>Madhya Pradesh</t>
        </is>
      </c>
      <c r="I40" t="inlineStr">
        <is>
          <t>Global Nutrition Fund (FCRA)</t>
        </is>
      </c>
      <c r="J40" t="inlineStr">
        <is>
          <t>Foreign Grant</t>
        </is>
      </c>
      <c r="K40" t="inlineStr">
        <is>
          <t>School water testing material</t>
        </is>
      </c>
    </row>
    <row r="41">
      <c r="A41" t="inlineStr">
        <is>
          <t>SEVA-25-0029</t>
        </is>
      </c>
      <c r="B41" s="5" t="n">
        <v>45824</v>
      </c>
      <c r="C41" t="n">
        <v>11</v>
      </c>
      <c r="D41" s="6" t="n">
        <v>60000</v>
      </c>
      <c r="E41" s="6">
        <f>C41*D41</f>
        <v/>
      </c>
      <c r="F41" t="inlineStr">
        <is>
          <t>School WASH</t>
        </is>
      </c>
      <c r="G41" t="inlineStr">
        <is>
          <t>Barmer</t>
        </is>
      </c>
      <c r="H41" t="inlineStr">
        <is>
          <t>Rajasthan</t>
        </is>
      </c>
      <c r="I41" t="inlineStr">
        <is>
          <t>HDFC Bank Parivartan</t>
        </is>
      </c>
      <c r="J41" t="inlineStr">
        <is>
          <t>CSR</t>
        </is>
      </c>
      <c r="K41" t="inlineStr">
        <is>
          <t>Mobile clinic consumables</t>
        </is>
      </c>
    </row>
    <row r="42">
      <c r="A42" t="inlineStr">
        <is>
          <t>SEVA-25-0030</t>
        </is>
      </c>
      <c r="B42" s="5" t="n">
        <v>45826</v>
      </c>
      <c r="C42" t="n">
        <v>16</v>
      </c>
      <c r="D42" s="6" t="n">
        <v>78000</v>
      </c>
      <c r="E42" s="6">
        <f>C42*D42</f>
        <v/>
      </c>
      <c r="F42" t="inlineStr">
        <is>
          <t>Mobile Health Outreach</t>
        </is>
      </c>
      <c r="G42" t="inlineStr">
        <is>
          <t>Mandla</t>
        </is>
      </c>
      <c r="H42" t="inlineStr">
        <is>
          <t>Madhya Pradesh</t>
        </is>
      </c>
      <c r="I42" t="inlineStr">
        <is>
          <t>Tata Trusts CSR</t>
        </is>
      </c>
      <c r="J42" t="inlineStr">
        <is>
          <t>CSR</t>
        </is>
      </c>
      <c r="K42" t="inlineStr">
        <is>
          <t>Field nutrition kits</t>
        </is>
      </c>
    </row>
    <row r="43">
      <c r="A43" t="inlineStr">
        <is>
          <t>SEVA-25-0031</t>
        </is>
      </c>
      <c r="B43" s="5" t="n">
        <v>45828</v>
      </c>
      <c r="C43" t="n">
        <v>16</v>
      </c>
      <c r="D43" s="6" t="n">
        <v>55000</v>
      </c>
      <c r="E43" s="6">
        <f>C43*D43</f>
        <v/>
      </c>
      <c r="F43" t="inlineStr">
        <is>
          <t>Community Nutrition</t>
        </is>
      </c>
      <c r="G43" t="inlineStr">
        <is>
          <t>Rayagada</t>
        </is>
      </c>
      <c r="H43" t="inlineStr">
        <is>
          <t>Odisha</t>
        </is>
      </c>
      <c r="I43" t="inlineStr">
        <is>
          <t>PM POSHAN</t>
        </is>
      </c>
      <c r="J43" t="inlineStr">
        <is>
          <t>Government Scheme</t>
        </is>
      </c>
      <c r="K43" t="inlineStr">
        <is>
          <t>School water testing material</t>
        </is>
      </c>
    </row>
    <row r="44">
      <c r="A44" t="inlineStr">
        <is>
          <t>SEVA-25-0032</t>
        </is>
      </c>
      <c r="B44" s="5" t="n">
        <v>45830</v>
      </c>
      <c r="C44" t="n">
        <v>8</v>
      </c>
      <c r="D44" s="6" t="n">
        <v>58000</v>
      </c>
      <c r="E44" s="6">
        <f>C44*D44</f>
        <v/>
      </c>
      <c r="F44" t="inlineStr">
        <is>
          <t>Women's Livelihoods</t>
        </is>
      </c>
      <c r="G44" t="inlineStr">
        <is>
          <t>Nandurbar</t>
        </is>
      </c>
      <c r="H44" t="inlineStr">
        <is>
          <t>Maharashtra</t>
        </is>
      </c>
      <c r="I44" t="inlineStr">
        <is>
          <t>Global Nutrition Fund (FCRA)</t>
        </is>
      </c>
      <c r="J44" t="inlineStr">
        <is>
          <t>Foreign Grant</t>
        </is>
      </c>
      <c r="K44" t="inlineStr">
        <is>
          <t>Mobile clinic consumables</t>
        </is>
      </c>
    </row>
    <row r="45">
      <c r="A45" t="inlineStr">
        <is>
          <t>SEVA-25-0033</t>
        </is>
      </c>
      <c r="B45" s="5" t="n">
        <v>45832</v>
      </c>
      <c r="C45" t="n">
        <v>11</v>
      </c>
      <c r="D45" s="6" t="n">
        <v>94000</v>
      </c>
      <c r="E45" s="6">
        <f>C45*D45</f>
        <v/>
      </c>
      <c r="F45" t="inlineStr">
        <is>
          <t>Community Nutrition</t>
        </is>
      </c>
      <c r="G45" t="inlineStr">
        <is>
          <t>Koraput</t>
        </is>
      </c>
      <c r="H45" t="inlineStr">
        <is>
          <t>Odisha</t>
        </is>
      </c>
      <c r="I45" t="inlineStr">
        <is>
          <t>HDFC Bank Parivartan</t>
        </is>
      </c>
      <c r="J45" t="inlineStr">
        <is>
          <t>CSR</t>
        </is>
      </c>
      <c r="K45" t="inlineStr">
        <is>
          <t>Field nutrition kits</t>
        </is>
      </c>
    </row>
    <row r="46">
      <c r="A46" t="inlineStr">
        <is>
          <t>SEVA-25-0034</t>
        </is>
      </c>
      <c r="B46" s="5" t="n">
        <v>45834</v>
      </c>
      <c r="C46" t="n">
        <v>8</v>
      </c>
      <c r="D46" s="6" t="n">
        <v>36000</v>
      </c>
      <c r="E46" s="6">
        <f>C46*D46</f>
        <v/>
      </c>
      <c r="F46" t="inlineStr">
        <is>
          <t>School WASH</t>
        </is>
      </c>
      <c r="G46" t="inlineStr">
        <is>
          <t>Jaisalmer</t>
        </is>
      </c>
      <c r="H46" t="inlineStr">
        <is>
          <t>Rajasthan</t>
        </is>
      </c>
      <c r="I46" t="inlineStr">
        <is>
          <t>Tata Trusts CSR</t>
        </is>
      </c>
      <c r="J46" t="inlineStr">
        <is>
          <t>CSR</t>
        </is>
      </c>
      <c r="K46" t="inlineStr">
        <is>
          <t>School water testing material</t>
        </is>
      </c>
    </row>
    <row r="47">
      <c r="A47" t="inlineStr">
        <is>
          <t>SEVA-25-0035</t>
        </is>
      </c>
      <c r="B47" s="5" t="n">
        <v>45811</v>
      </c>
      <c r="C47" t="n">
        <v>16</v>
      </c>
      <c r="D47" s="6" t="n">
        <v>45000</v>
      </c>
      <c r="E47" s="6">
        <f>C47*D47</f>
        <v/>
      </c>
      <c r="F47" t="inlineStr">
        <is>
          <t>Mobile Health Outreach</t>
        </is>
      </c>
      <c r="G47" t="inlineStr">
        <is>
          <t>Dindori</t>
        </is>
      </c>
      <c r="H47" t="inlineStr">
        <is>
          <t>Madhya Pradesh</t>
        </is>
      </c>
      <c r="I47" t="inlineStr">
        <is>
          <t>PM POSHAN</t>
        </is>
      </c>
      <c r="J47" t="inlineStr">
        <is>
          <t>Government Scheme</t>
        </is>
      </c>
      <c r="K47" t="inlineStr">
        <is>
          <t>Mobile clinic consumables</t>
        </is>
      </c>
    </row>
    <row r="48">
      <c r="A48" t="inlineStr">
        <is>
          <t>SEVA-25-0036</t>
        </is>
      </c>
      <c r="B48" s="5" t="n">
        <v>45813</v>
      </c>
      <c r="C48" t="n">
        <v>16</v>
      </c>
      <c r="D48" s="6" t="n">
        <v>35000</v>
      </c>
      <c r="E48" s="6">
        <f>C48*D48</f>
        <v/>
      </c>
      <c r="F48" t="inlineStr">
        <is>
          <t>School WASH</t>
        </is>
      </c>
      <c r="G48" t="inlineStr">
        <is>
          <t>Barmer</t>
        </is>
      </c>
      <c r="H48" t="inlineStr">
        <is>
          <t>Rajasthan</t>
        </is>
      </c>
      <c r="I48" t="inlineStr">
        <is>
          <t>Global Nutrition Fund (FCRA)</t>
        </is>
      </c>
      <c r="J48" t="inlineStr">
        <is>
          <t>Foreign Grant</t>
        </is>
      </c>
      <c r="K48" t="inlineStr">
        <is>
          <t>Field nutrition kits</t>
        </is>
      </c>
    </row>
    <row r="49">
      <c r="A49" s="7" t="inlineStr">
        <is>
          <t>SUBTOTAL — JUNE 2025</t>
        </is>
      </c>
      <c r="B49" s="7" t="n"/>
      <c r="C49" s="7" t="n"/>
      <c r="D49" s="7" t="n"/>
      <c r="E49" s="8">
        <f>SUM(E37:E48)</f>
        <v/>
      </c>
      <c r="F49" s="7" t="n"/>
      <c r="G49" s="7" t="n"/>
      <c r="H49" s="7" t="n"/>
      <c r="I49" s="7" t="n"/>
      <c r="J49" s="7" t="n"/>
      <c r="K49" s="7" t="n"/>
    </row>
    <row r="51">
      <c r="A51" s="9" t="inlineStr">
        <is>
          <t>GRAND TOTAL — Q1</t>
        </is>
      </c>
      <c r="B51" s="9" t="n"/>
      <c r="C51" s="9" t="n"/>
      <c r="D51" s="9" t="n"/>
      <c r="E51" s="10">
        <f>SUM(E19,E34,E49)</f>
        <v/>
      </c>
      <c r="F51" s="9" t="n"/>
      <c r="G51" s="9" t="n"/>
      <c r="H51" s="9" t="n"/>
      <c r="I51" s="9" t="n"/>
      <c r="J51" s="9" t="n"/>
      <c r="K51" s="9" t="n"/>
    </row>
  </sheetData>
  <autoFilter ref="A4:K51"/>
  <mergeCells count="5">
    <mergeCell ref="A6:K6"/>
    <mergeCell ref="A21:K21"/>
    <mergeCell ref="A2:K2"/>
    <mergeCell ref="A36:K36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s="11" t="inlineStr">
        <is>
          <t>Item</t>
        </is>
      </c>
      <c r="B1" s="11" t="inlineStr">
        <is>
          <t>Instruction</t>
        </is>
      </c>
    </row>
    <row r="2">
      <c r="A2" t="inlineStr">
        <is>
          <t>Line Amount</t>
        </is>
      </c>
      <c r="B2" t="inlineStr">
        <is>
          <t>Live formula = Quantity × Unit Rate. The workbook was not recalculated.</t>
        </is>
      </c>
    </row>
    <row r="3">
      <c r="A3" t="inlineStr">
        <is>
          <t>Monthly subtotal</t>
        </is>
      </c>
      <c r="B3" t="inlineStr">
        <is>
          <t>Live SUM formula over that month's line-amount cells.</t>
        </is>
      </c>
    </row>
    <row r="4">
      <c r="A4" t="inlineStr">
        <is>
          <t>Grand total</t>
        </is>
      </c>
      <c r="B4" t="inlineStr">
        <is>
          <t>Live SUM formula over the three monthly subtotal cells.</t>
        </is>
      </c>
    </row>
    <row r="5">
      <c r="A5" t="inlineStr">
        <is>
          <t>Analysis rule</t>
        </is>
      </c>
      <c r="B5" t="inlineStr">
        <is>
          <t>Compute from invoice inputs; exclude month labels, subtotals, and grand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2026-10-11T09:52:39Z</dcterms:created>
  <dcterms:modified xsi:type="dcterms:W3CDTF">2026-10-11T09:52:39Z</dcterms:modified>
</cp:coreProperties>
</file>